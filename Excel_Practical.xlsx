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ck_Interview_1\"/>
    </mc:Choice>
  </mc:AlternateContent>
  <xr:revisionPtr revIDLastSave="0" documentId="8_{5849E5E5-40F4-4FEA-8B2A-3B6D040831A1}" xr6:coauthVersionLast="47" xr6:coauthVersionMax="47" xr10:uidLastSave="{00000000-0000-0000-0000-000000000000}"/>
  <bookViews>
    <workbookView xWindow="-108" yWindow="-108" windowWidth="23256" windowHeight="12456" activeTab="3" xr2:uid="{9D73D215-18E4-4862-9312-13C3BEE64B93}"/>
  </bookViews>
  <sheets>
    <sheet name="Raw" sheetId="1" r:id="rId1"/>
    <sheet name="Lookup" sheetId="3" r:id="rId2"/>
    <sheet name="Clean" sheetId="4" r:id="rId3"/>
    <sheet name="Excel_Practical" sheetId="5" r:id="rId4"/>
  </sheet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2" i="5"/>
  <c r="H3" i="4"/>
  <c r="H4" i="4"/>
  <c r="H5" i="4"/>
  <c r="H6" i="4"/>
  <c r="H7" i="4"/>
  <c r="H8" i="4"/>
  <c r="H9" i="4"/>
  <c r="H10" i="4"/>
  <c r="H11" i="4"/>
  <c r="H12" i="4"/>
  <c r="H13" i="4"/>
  <c r="H2" i="4"/>
  <c r="G3" i="4"/>
  <c r="G4" i="4"/>
  <c r="G5" i="4"/>
  <c r="G6" i="4"/>
  <c r="G7" i="4"/>
  <c r="G8" i="4"/>
  <c r="G9" i="4"/>
  <c r="G10" i="4"/>
  <c r="G11" i="4"/>
  <c r="G12" i="4"/>
  <c r="G13" i="4"/>
  <c r="G2" i="4"/>
</calcChain>
</file>

<file path=xl/sharedStrings.xml><?xml version="1.0" encoding="utf-8"?>
<sst xmlns="http://schemas.openxmlformats.org/spreadsheetml/2006/main" count="121" uniqueCount="31">
  <si>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</si>
  <si>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</si>
  <si>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</si>
  <si>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</si>
  <si>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</si>
  <si>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</si>
  <si>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</si>
  <si>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</si>
  <si>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</si>
  <si>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</si>
  <si>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</si>
  <si>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</si>
  <si>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</si>
  <si>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</si>
  <si>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</si>
  <si>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</si>
  <si>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 xml:space="preserve">15  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</si>
  <si>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</si>
  <si>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</si>
  <si>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</si>
  <si>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</si>
  <si>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</si>
  <si>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</si>
  <si>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</si>
  <si>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</si>
  <si>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</si>
  <si>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Hub</t>
  </si>
  <si>
    <t>Total Delay Days</t>
  </si>
  <si>
    <t>Sum of delay_days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</si>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</sst>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Courier New"/>
      <family val="3"/>
    </font>
    <font>
      <b/>
      <sz val="12"/>
      <color rgb="FF333333"/>
      <name val="Courier New"/>
      <family val="3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[Excel_Practical.xlsx]Excel_Practical!PivotTable2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Excel_Practical!$E$2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Excel_Practical!$D$3:$D$11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</c:lvl>
                <c:lvl>
                  <c:pt idx="0">
                    <c:v>Express</c:v>
                  </c:pt>
                  <c:pt idx="3">
                    <c:v>Standard</c:v>
                  </c:pt>
                </c:lvl>
              </c:multiLvlStrCache>
            </c:multiLvlStrRef>
          </c:cat>
          <c:val>
            <c:numRef>
              <c:f>Excel_Practical!$E$3:$E$11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9-463D-9ADE-A6E67121EE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1409072"/>
        <c:axId val="782792368"/>
      </c:barChart>
      <c:catAx>
        <c:axId val="7814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92368"/>
        <c:crosses val="autoZero"/>
        <c:auto val="1"/>
        <c:lblAlgn val="ctr"/>
        <c:lblOffset val="100"/>
        <c:noMultiLvlLbl val="0"/>
      </c:catAx>
      <c:valAx>
        <c:axId val="78279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0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11430</xdr:rowOff>
    </xdr:from>
    <xdr:to>
      <xdr:col>13</xdr:col>
      <xdr:colOff>312420</xdr:colOff>
      <xdr:row>16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CC9D1-658E-B0A3-6EB8-098DCDE3A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GOKANI" refreshedDate="46298.559059375002" createdVersion="8" refreshedVersion="8" minRefreshableVersion="3" recordCount="12" xr:uid="{13B91504-48E5-4697-A475-B008BE776735}">
  <cacheSource type="worksheet">
    <worksheetSource ref="A1:H13" sheet="Clean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E47B5-342A-45AB-9FBD-5D025055D0E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E11" firstHeaderRow="1" firstDataRow="1" firstDataCol="1"/>
  <pivotFields count="8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2">
    <field x="6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um of delay_day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7BA8-7B3E-4CDC-8D32-926652ADAABA}">
  <dimension ref="A1:F14"/>
  <sheetViews>
    <sheetView workbookViewId="0">
      <selection sqref="A1:F14"/>
    </sheetView>
  </sheetViews>
  <sheetFormatPr defaultRowHeight="14.4" x14ac:dyDescent="0.3"/>
  <cols>
    <col min="1" max="1" width="13.109375" bestFit="1" customWidth="1"/>
    <col min="5" max="5" width="15.109375" bestFit="1" customWidth="1"/>
    <col min="6" max="6" width="12" bestFit="1" customWidth="1"/>
  </cols>
  <sheetData>
    <row r="1" spans="1:6" ht="16.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</v>
      </c>
      <c r="B2" s="5" t="s">
        <v>6</v>
      </c>
      <c r="C2" s="5" t="s">
        <v>7</v>
      </c>
      <c r="D2" s="5" t="s">
        <v>8</v>
      </c>
      <c r="E2" s="6">
        <v>2</v>
      </c>
      <c r="F2" s="6">
        <v>2</v>
      </c>
    </row>
    <row r="3" spans="1:6" x14ac:dyDescent="0.3">
      <c r="A3" s="4">
        <v>2</v>
      </c>
      <c r="B3" s="5" t="s">
        <v>6</v>
      </c>
      <c r="C3" s="5" t="s">
        <v>9</v>
      </c>
      <c r="D3" s="5" t="s">
        <v>10</v>
      </c>
      <c r="E3" s="6">
        <v>3</v>
      </c>
      <c r="F3" s="6">
        <v>4</v>
      </c>
    </row>
    <row r="4" spans="1:6" x14ac:dyDescent="0.3">
      <c r="A4" s="4">
        <v>3</v>
      </c>
      <c r="B4" s="5" t="s">
        <v>6</v>
      </c>
      <c r="C4" s="5" t="s">
        <v>11</v>
      </c>
      <c r="D4" s="5" t="s">
        <v>12</v>
      </c>
      <c r="E4" s="6">
        <v>5</v>
      </c>
      <c r="F4" s="6">
        <v>8</v>
      </c>
    </row>
    <row r="5" spans="1:6" x14ac:dyDescent="0.3">
      <c r="A5" s="4">
        <v>4</v>
      </c>
      <c r="B5" s="5" t="s">
        <v>6</v>
      </c>
      <c r="C5" s="5" t="s">
        <v>13</v>
      </c>
      <c r="D5" s="5" t="s">
        <v>8</v>
      </c>
      <c r="E5" s="6">
        <v>6</v>
      </c>
      <c r="F5" s="6">
        <v>10</v>
      </c>
    </row>
    <row r="6" spans="1:6" x14ac:dyDescent="0.3">
      <c r="A6" s="4">
        <v>5</v>
      </c>
      <c r="B6" s="5" t="s">
        <v>14</v>
      </c>
      <c r="C6" s="5" t="s">
        <v>7</v>
      </c>
      <c r="D6" s="5" t="s">
        <v>10</v>
      </c>
      <c r="E6" s="6">
        <v>2</v>
      </c>
      <c r="F6" s="6">
        <v>5</v>
      </c>
    </row>
    <row r="7" spans="1:6" x14ac:dyDescent="0.3">
      <c r="A7" s="4">
        <v>6</v>
      </c>
      <c r="B7" s="5" t="s">
        <v>14</v>
      </c>
      <c r="C7" s="5" t="s">
        <v>9</v>
      </c>
      <c r="D7" s="5" t="s">
        <v>12</v>
      </c>
      <c r="E7" s="6">
        <v>3</v>
      </c>
      <c r="F7" s="6">
        <v>3</v>
      </c>
    </row>
    <row r="8" spans="1:6" x14ac:dyDescent="0.3">
      <c r="A8" s="4">
        <v>7</v>
      </c>
      <c r="B8" s="5" t="s">
        <v>14</v>
      </c>
      <c r="C8" s="5" t="s">
        <v>11</v>
      </c>
      <c r="D8" s="5" t="s">
        <v>12</v>
      </c>
      <c r="E8" s="6">
        <v>5</v>
      </c>
      <c r="F8" s="6">
        <v>10</v>
      </c>
    </row>
    <row r="9" spans="1:6" x14ac:dyDescent="0.3">
      <c r="A9" s="4">
        <v>8</v>
      </c>
      <c r="B9" s="5" t="s">
        <v>14</v>
      </c>
      <c r="C9" s="5" t="s">
        <v>13</v>
      </c>
      <c r="D9" s="5" t="s">
        <v>10</v>
      </c>
      <c r="E9" s="6">
        <v>6</v>
      </c>
      <c r="F9" s="6">
        <v>7</v>
      </c>
    </row>
    <row r="10" spans="1:6" x14ac:dyDescent="0.3">
      <c r="A10" s="4">
        <v>9</v>
      </c>
      <c r="B10" s="5" t="s">
        <v>15</v>
      </c>
      <c r="C10" s="5" t="s">
        <v>7</v>
      </c>
      <c r="D10" s="5" t="s">
        <v>12</v>
      </c>
      <c r="E10" s="6">
        <v>2</v>
      </c>
      <c r="F10" s="6">
        <v>8</v>
      </c>
    </row>
    <row r="11" spans="1:6" x14ac:dyDescent="0.3">
      <c r="A11" s="4">
        <v>10</v>
      </c>
      <c r="B11" s="5" t="s">
        <v>15</v>
      </c>
      <c r="C11" s="5" t="s">
        <v>9</v>
      </c>
      <c r="D11" s="5" t="s">
        <v>8</v>
      </c>
      <c r="E11" s="6">
        <v>3</v>
      </c>
      <c r="F11" s="6">
        <v>5</v>
      </c>
    </row>
    <row r="12" spans="1:6" x14ac:dyDescent="0.3">
      <c r="A12" s="4">
        <v>11</v>
      </c>
      <c r="B12" s="5" t="s">
        <v>15</v>
      </c>
      <c r="C12" s="5" t="s">
        <v>11</v>
      </c>
      <c r="D12" s="5" t="s">
        <v>10</v>
      </c>
      <c r="E12" s="6">
        <v>5</v>
      </c>
      <c r="F12" s="6">
        <v>5</v>
      </c>
    </row>
    <row r="13" spans="1:6" x14ac:dyDescent="0.3">
      <c r="A13" s="4">
        <v>12</v>
      </c>
      <c r="B13" s="5" t="s">
        <v>15</v>
      </c>
      <c r="C13" s="5" t="s">
        <v>13</v>
      </c>
      <c r="D13" s="5" t="s">
        <v>8</v>
      </c>
      <c r="E13" s="6">
        <v>6</v>
      </c>
      <c r="F13" s="6">
        <v>15</v>
      </c>
    </row>
    <row r="14" spans="1:6" x14ac:dyDescent="0.3">
      <c r="A14" s="4">
        <v>12</v>
      </c>
      <c r="B14" s="5" t="s">
        <v>15</v>
      </c>
      <c r="C14" s="5" t="s">
        <v>13</v>
      </c>
      <c r="D14" s="5" t="s">
        <v>8</v>
      </c>
      <c r="E14" s="6">
        <v>6</v>
      </c>
      <c r="F14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DD18-EF40-4E64-A6D0-EDF374C250C9}">
  <dimension ref="A1:C5"/>
  <sheetViews>
    <sheetView workbookViewId="0">
      <selection activeCell="E5" sqref="E5"/>
    </sheetView>
  </sheetViews>
  <sheetFormatPr defaultRowHeight="14.4" x14ac:dyDescent="0.3"/>
  <cols>
    <col min="1" max="1" width="9.88671875" bestFit="1" customWidth="1"/>
    <col min="2" max="2" width="13.77734375" bestFit="1" customWidth="1"/>
    <col min="3" max="3" width="10.88671875" bestFit="1" customWidth="1"/>
  </cols>
  <sheetData>
    <row r="1" spans="1:3" x14ac:dyDescent="0.3">
      <c r="A1" s="1" t="s">
        <v>2</v>
      </c>
      <c r="B1" t="s">
        <v>17</v>
      </c>
      <c r="C1" t="s">
        <v>18</v>
      </c>
    </row>
    <row r="2" spans="1:3" x14ac:dyDescent="0.3">
      <c r="A2" s="1" t="s">
        <v>7</v>
      </c>
      <c r="B2" t="s">
        <v>19</v>
      </c>
      <c r="C2" t="s">
        <v>20</v>
      </c>
    </row>
    <row r="3" spans="1:3" x14ac:dyDescent="0.3">
      <c r="A3" s="1" t="s">
        <v>9</v>
      </c>
      <c r="B3" t="s">
        <v>21</v>
      </c>
      <c r="C3" t="s">
        <v>20</v>
      </c>
    </row>
    <row r="4" spans="1:3" x14ac:dyDescent="0.3">
      <c r="A4" s="1" t="s">
        <v>11</v>
      </c>
      <c r="B4" t="s">
        <v>22</v>
      </c>
      <c r="C4" t="s">
        <v>23</v>
      </c>
    </row>
    <row r="5" spans="1:3" x14ac:dyDescent="0.3">
      <c r="A5" s="1" t="s">
        <v>13</v>
      </c>
      <c r="B5" t="s">
        <v>24</v>
      </c>
      <c r="C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FB63-E7AC-4877-98C5-C9856B45FBB4}">
  <dimension ref="A1:H13"/>
  <sheetViews>
    <sheetView workbookViewId="0">
      <selection sqref="A1:H13"/>
    </sheetView>
  </sheetViews>
  <sheetFormatPr defaultRowHeight="14.4" x14ac:dyDescent="0.3"/>
  <cols>
    <col min="1" max="1" width="15.33203125" style="9" customWidth="1"/>
    <col min="5" max="5" width="15.109375" bestFit="1" customWidth="1"/>
    <col min="6" max="6" width="12" bestFit="1" customWidth="1"/>
    <col min="7" max="7" width="16.5546875" customWidth="1"/>
    <col min="8" max="8" width="10.6640625" customWidth="1"/>
    <col min="9" max="9" width="17.33203125" customWidth="1"/>
  </cols>
  <sheetData>
    <row r="1" spans="1:8" ht="16.2" x14ac:dyDescent="0.3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18</v>
      </c>
      <c r="H1" s="5" t="s">
        <v>25</v>
      </c>
    </row>
    <row r="2" spans="1:8" x14ac:dyDescent="0.3">
      <c r="A2" s="8">
        <v>1</v>
      </c>
      <c r="B2" s="5" t="s">
        <v>6</v>
      </c>
      <c r="C2" s="5" t="s">
        <v>7</v>
      </c>
      <c r="D2" s="5" t="s">
        <v>8</v>
      </c>
      <c r="E2" s="6">
        <v>2</v>
      </c>
      <c r="F2" s="6">
        <v>2</v>
      </c>
      <c r="G2" s="5" t="str">
        <f>_xlfn.XLOOKUP(C2,Lookup!$A$2:$A$5,Lookup!$C$2:$C$5)</f>
        <v>Express</v>
      </c>
      <c r="H2" s="5">
        <f>MAX(F2-E2,0)</f>
        <v>0</v>
      </c>
    </row>
    <row r="3" spans="1:8" x14ac:dyDescent="0.3">
      <c r="A3" s="8">
        <v>2</v>
      </c>
      <c r="B3" s="5" t="s">
        <v>6</v>
      </c>
      <c r="C3" s="5" t="s">
        <v>9</v>
      </c>
      <c r="D3" s="5" t="s">
        <v>10</v>
      </c>
      <c r="E3" s="6">
        <v>3</v>
      </c>
      <c r="F3" s="6">
        <v>4</v>
      </c>
      <c r="G3" s="5" t="str">
        <f>_xlfn.XLOOKUP(C3,Lookup!$A$2:$A$5,Lookup!$C$2:$C$5)</f>
        <v>Express</v>
      </c>
      <c r="H3" s="5">
        <f t="shared" ref="H3:H13" si="0">MAX(F3-E3,0)</f>
        <v>1</v>
      </c>
    </row>
    <row r="4" spans="1:8" x14ac:dyDescent="0.3">
      <c r="A4" s="8">
        <v>3</v>
      </c>
      <c r="B4" s="5" t="s">
        <v>6</v>
      </c>
      <c r="C4" s="5" t="s">
        <v>11</v>
      </c>
      <c r="D4" s="5" t="s">
        <v>12</v>
      </c>
      <c r="E4" s="6">
        <v>5</v>
      </c>
      <c r="F4" s="6">
        <v>8</v>
      </c>
      <c r="G4" s="5" t="str">
        <f>_xlfn.XLOOKUP(C4,Lookup!$A$2:$A$5,Lookup!$C$2:$C$5)</f>
        <v>Standard</v>
      </c>
      <c r="H4" s="5">
        <f t="shared" si="0"/>
        <v>3</v>
      </c>
    </row>
    <row r="5" spans="1:8" x14ac:dyDescent="0.3">
      <c r="A5" s="8">
        <v>4</v>
      </c>
      <c r="B5" s="5" t="s">
        <v>6</v>
      </c>
      <c r="C5" s="5" t="s">
        <v>13</v>
      </c>
      <c r="D5" s="5" t="s">
        <v>8</v>
      </c>
      <c r="E5" s="6">
        <v>6</v>
      </c>
      <c r="F5" s="6">
        <v>10</v>
      </c>
      <c r="G5" s="5" t="str">
        <f>_xlfn.XLOOKUP(C5,Lookup!$A$2:$A$5,Lookup!$C$2:$C$5)</f>
        <v>Standard</v>
      </c>
      <c r="H5" s="5">
        <f t="shared" si="0"/>
        <v>4</v>
      </c>
    </row>
    <row r="6" spans="1:8" x14ac:dyDescent="0.3">
      <c r="A6" s="8">
        <v>5</v>
      </c>
      <c r="B6" s="5" t="s">
        <v>14</v>
      </c>
      <c r="C6" s="5" t="s">
        <v>7</v>
      </c>
      <c r="D6" s="5" t="s">
        <v>10</v>
      </c>
      <c r="E6" s="6">
        <v>2</v>
      </c>
      <c r="F6" s="6">
        <v>5</v>
      </c>
      <c r="G6" s="5" t="str">
        <f>_xlfn.XLOOKUP(C6,Lookup!$A$2:$A$5,Lookup!$C$2:$C$5)</f>
        <v>Express</v>
      </c>
      <c r="H6" s="5">
        <f t="shared" si="0"/>
        <v>3</v>
      </c>
    </row>
    <row r="7" spans="1:8" x14ac:dyDescent="0.3">
      <c r="A7" s="8">
        <v>6</v>
      </c>
      <c r="B7" s="5" t="s">
        <v>14</v>
      </c>
      <c r="C7" s="5" t="s">
        <v>9</v>
      </c>
      <c r="D7" s="5" t="s">
        <v>12</v>
      </c>
      <c r="E7" s="6">
        <v>3</v>
      </c>
      <c r="F7" s="6">
        <v>3</v>
      </c>
      <c r="G7" s="5" t="str">
        <f>_xlfn.XLOOKUP(C7,Lookup!$A$2:$A$5,Lookup!$C$2:$C$5)</f>
        <v>Express</v>
      </c>
      <c r="H7" s="5">
        <f t="shared" si="0"/>
        <v>0</v>
      </c>
    </row>
    <row r="8" spans="1:8" x14ac:dyDescent="0.3">
      <c r="A8" s="8">
        <v>7</v>
      </c>
      <c r="B8" s="5" t="s">
        <v>14</v>
      </c>
      <c r="C8" s="5" t="s">
        <v>11</v>
      </c>
      <c r="D8" s="5" t="s">
        <v>12</v>
      </c>
      <c r="E8" s="6">
        <v>5</v>
      </c>
      <c r="F8" s="6">
        <v>10</v>
      </c>
      <c r="G8" s="5" t="str">
        <f>_xlfn.XLOOKUP(C8,Lookup!$A$2:$A$5,Lookup!$C$2:$C$5)</f>
        <v>Standard</v>
      </c>
      <c r="H8" s="5">
        <f t="shared" si="0"/>
        <v>5</v>
      </c>
    </row>
    <row r="9" spans="1:8" x14ac:dyDescent="0.3">
      <c r="A9" s="8">
        <v>8</v>
      </c>
      <c r="B9" s="5" t="s">
        <v>14</v>
      </c>
      <c r="C9" s="5" t="s">
        <v>13</v>
      </c>
      <c r="D9" s="5" t="s">
        <v>10</v>
      </c>
      <c r="E9" s="6">
        <v>6</v>
      </c>
      <c r="F9" s="6">
        <v>7</v>
      </c>
      <c r="G9" s="5" t="str">
        <f>_xlfn.XLOOKUP(C9,Lookup!$A$2:$A$5,Lookup!$C$2:$C$5)</f>
        <v>Standard</v>
      </c>
      <c r="H9" s="5">
        <f t="shared" si="0"/>
        <v>1</v>
      </c>
    </row>
    <row r="10" spans="1:8" x14ac:dyDescent="0.3">
      <c r="A10" s="8">
        <v>9</v>
      </c>
      <c r="B10" s="5" t="s">
        <v>15</v>
      </c>
      <c r="C10" s="5" t="s">
        <v>7</v>
      </c>
      <c r="D10" s="5" t="s">
        <v>12</v>
      </c>
      <c r="E10" s="6">
        <v>2</v>
      </c>
      <c r="F10" s="6">
        <v>8</v>
      </c>
      <c r="G10" s="5" t="str">
        <f>_xlfn.XLOOKUP(C10,Lookup!$A$2:$A$5,Lookup!$C$2:$C$5)</f>
        <v>Express</v>
      </c>
      <c r="H10" s="5">
        <f t="shared" si="0"/>
        <v>6</v>
      </c>
    </row>
    <row r="11" spans="1:8" x14ac:dyDescent="0.3">
      <c r="A11" s="8">
        <v>10</v>
      </c>
      <c r="B11" s="5" t="s">
        <v>15</v>
      </c>
      <c r="C11" s="5" t="s">
        <v>9</v>
      </c>
      <c r="D11" s="5" t="s">
        <v>8</v>
      </c>
      <c r="E11" s="6">
        <v>3</v>
      </c>
      <c r="F11" s="6">
        <v>5</v>
      </c>
      <c r="G11" s="5" t="str">
        <f>_xlfn.XLOOKUP(C11,Lookup!$A$2:$A$5,Lookup!$C$2:$C$5)</f>
        <v>Express</v>
      </c>
      <c r="H11" s="5">
        <f t="shared" si="0"/>
        <v>2</v>
      </c>
    </row>
    <row r="12" spans="1:8" x14ac:dyDescent="0.3">
      <c r="A12" s="8">
        <v>11</v>
      </c>
      <c r="B12" s="5" t="s">
        <v>15</v>
      </c>
      <c r="C12" s="5" t="s">
        <v>11</v>
      </c>
      <c r="D12" s="5" t="s">
        <v>10</v>
      </c>
      <c r="E12" s="6">
        <v>5</v>
      </c>
      <c r="F12" s="6">
        <v>5</v>
      </c>
      <c r="G12" s="5" t="str">
        <f>_xlfn.XLOOKUP(C12,Lookup!$A$2:$A$5,Lookup!$C$2:$C$5)</f>
        <v>Standard</v>
      </c>
      <c r="H12" s="5">
        <f t="shared" si="0"/>
        <v>0</v>
      </c>
    </row>
    <row r="13" spans="1:8" x14ac:dyDescent="0.3">
      <c r="A13" s="8">
        <v>12</v>
      </c>
      <c r="B13" s="5" t="s">
        <v>15</v>
      </c>
      <c r="C13" s="5" t="s">
        <v>13</v>
      </c>
      <c r="D13" s="5" t="s">
        <v>8</v>
      </c>
      <c r="E13" s="6">
        <v>6</v>
      </c>
      <c r="F13" s="6">
        <v>15</v>
      </c>
      <c r="G13" s="5" t="str">
        <f>_xlfn.XLOOKUP(C13,Lookup!$A$2:$A$5,Lookup!$C$2:$C$5)</f>
        <v>Standard</v>
      </c>
      <c r="H13" s="5">
        <f t="shared" si="0"/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3D2F-23E8-4AD3-B4FE-8F6FA6C0F0C9}">
  <dimension ref="A1:E11"/>
  <sheetViews>
    <sheetView tabSelected="1" workbookViewId="0">
      <selection activeCell="B3" sqref="B3"/>
    </sheetView>
  </sheetViews>
  <sheetFormatPr defaultRowHeight="14.4" x14ac:dyDescent="0.3"/>
  <cols>
    <col min="2" max="2" width="25.44140625" customWidth="1"/>
    <col min="4" max="4" width="12.44140625" bestFit="1" customWidth="1"/>
    <col min="5" max="5" width="16.33203125" bestFit="1" customWidth="1"/>
  </cols>
  <sheetData>
    <row r="1" spans="1:5" ht="22.05" customHeight="1" x14ac:dyDescent="0.3">
      <c r="A1" s="10" t="s">
        <v>26</v>
      </c>
      <c r="B1" s="12" t="s">
        <v>27</v>
      </c>
    </row>
    <row r="2" spans="1:5" x14ac:dyDescent="0.3">
      <c r="A2" s="13" t="s">
        <v>10</v>
      </c>
      <c r="B2" s="11">
        <f>SUMIFS(Clean!$H$2:$H$13,Clean!$D$2:$D$13,A2)</f>
        <v>5</v>
      </c>
      <c r="D2" s="14" t="s">
        <v>29</v>
      </c>
      <c r="E2" t="s">
        <v>28</v>
      </c>
    </row>
    <row r="3" spans="1:5" x14ac:dyDescent="0.3">
      <c r="A3" s="13" t="s">
        <v>12</v>
      </c>
      <c r="B3" s="11">
        <f>SUMIFS(Clean!$H$2:$H$13,Clean!$D$2:$D$13,A3)</f>
        <v>14</v>
      </c>
      <c r="D3" s="15" t="s">
        <v>20</v>
      </c>
      <c r="E3" s="9">
        <v>12</v>
      </c>
    </row>
    <row r="4" spans="1:5" x14ac:dyDescent="0.3">
      <c r="A4" s="13" t="s">
        <v>8</v>
      </c>
      <c r="B4" s="11">
        <f>SUMIFS(Clean!$H$2:$H$13,Clean!$D$2:$D$13,A4)</f>
        <v>15</v>
      </c>
      <c r="D4" s="16" t="s">
        <v>6</v>
      </c>
      <c r="E4" s="9">
        <v>1</v>
      </c>
    </row>
    <row r="5" spans="1:5" x14ac:dyDescent="0.3">
      <c r="D5" s="16" t="s">
        <v>14</v>
      </c>
      <c r="E5" s="9">
        <v>3</v>
      </c>
    </row>
    <row r="6" spans="1:5" x14ac:dyDescent="0.3">
      <c r="D6" s="16" t="s">
        <v>15</v>
      </c>
      <c r="E6" s="9">
        <v>8</v>
      </c>
    </row>
    <row r="7" spans="1:5" x14ac:dyDescent="0.3">
      <c r="D7" s="15" t="s">
        <v>23</v>
      </c>
      <c r="E7" s="9">
        <v>22</v>
      </c>
    </row>
    <row r="8" spans="1:5" x14ac:dyDescent="0.3">
      <c r="D8" s="16" t="s">
        <v>6</v>
      </c>
      <c r="E8" s="9">
        <v>7</v>
      </c>
    </row>
    <row r="9" spans="1:5" x14ac:dyDescent="0.3">
      <c r="D9" s="16" t="s">
        <v>14</v>
      </c>
      <c r="E9" s="9">
        <v>6</v>
      </c>
    </row>
    <row r="10" spans="1:5" x14ac:dyDescent="0.3">
      <c r="D10" s="16" t="s">
        <v>15</v>
      </c>
      <c r="E10" s="9">
        <v>9</v>
      </c>
    </row>
    <row r="11" spans="1:5" x14ac:dyDescent="0.3">
      <c r="D11" s="15" t="s">
        <v>30</v>
      </c>
      <c r="E11" s="9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Excel_Practical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Gokani Riya</dc:creator>
  <cp:lastModifiedBy>Gokani Riya</cp:lastModifiedBy>
  <dcterms:created xsi:type="dcterms:W3CDTF">2026-10-03T06:31:07Z</dcterms:created>
  <dcterms:modified xsi:type="dcterms:W3CDTF">2026-10-03T07:59:14Z</dcterms:modified>
</cp:coreProperties>
</file>